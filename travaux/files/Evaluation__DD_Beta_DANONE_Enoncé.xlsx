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biym\Downloads\"/>
    </mc:Choice>
  </mc:AlternateContent>
  <xr:revisionPtr revIDLastSave="0" documentId="13_ncr:1_{1A91F0D9-1DC6-4361-A147-987AEE3E1971}" xr6:coauthVersionLast="47" xr6:coauthVersionMax="47" xr10:uidLastSave="{00000000-0000-0000-0000-000000000000}"/>
  <bookViews>
    <workbookView xWindow="-90" yWindow="0" windowWidth="9780" windowHeight="10170" activeTab="1" xr2:uid="{00000000-000D-0000-FFFF-FFFF00000000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5" i="2"/>
  <c r="B16" i="2" s="1"/>
  <c r="F9" i="2"/>
  <c r="F5" i="2"/>
  <c r="E9" i="2"/>
  <c r="F8" i="2"/>
  <c r="F7" i="2"/>
  <c r="F6" i="2"/>
  <c r="E8" i="2"/>
  <c r="E7" i="2"/>
  <c r="E6" i="2"/>
  <c r="E5" i="2"/>
</calcChain>
</file>

<file path=xl/sharedStrings.xml><?xml version="1.0" encoding="utf-8"?>
<sst xmlns="http://schemas.openxmlformats.org/spreadsheetml/2006/main" count="28" uniqueCount="28">
  <si>
    <t>Cout des capitaux propres</t>
  </si>
  <si>
    <t>Rf =le taux sans risque</t>
  </si>
  <si>
    <t>g=</t>
  </si>
  <si>
    <t>Beta = Le risque du marché est égal au risque moyen de toutes les entreprises qui le composent (l’entreprise qu’on évalue fait partie du marché)</t>
  </si>
  <si>
    <t>Prime de risque =le rendement moyen exigé par le marché (Rm) - le taux sans risque (Rf)</t>
  </si>
  <si>
    <t>Coût des capitaux propres (Medaf) =Rf + Beta*(Rm-Rf)</t>
  </si>
  <si>
    <t>Dividende</t>
  </si>
  <si>
    <t>Dividende actualisé</t>
  </si>
  <si>
    <t>Valeur Terminale</t>
  </si>
  <si>
    <t>Valeur terminale actualisée</t>
  </si>
  <si>
    <t>Valeur de l'action Danone</t>
  </si>
  <si>
    <t>Cours Danone</t>
  </si>
  <si>
    <t>Comparable</t>
  </si>
  <si>
    <t>Ebitda</t>
  </si>
  <si>
    <t>Market Cap</t>
  </si>
  <si>
    <t>DN</t>
  </si>
  <si>
    <t>Cible</t>
  </si>
  <si>
    <t>Lotus</t>
  </si>
  <si>
    <t>Kraft</t>
  </si>
  <si>
    <t>GM</t>
  </si>
  <si>
    <t>Danone</t>
  </si>
  <si>
    <t>Nestlé</t>
  </si>
  <si>
    <t>EV</t>
  </si>
  <si>
    <t>EV/Ebitda</t>
  </si>
  <si>
    <t>Enterprise value</t>
  </si>
  <si>
    <t>Equity Value</t>
  </si>
  <si>
    <t xml:space="preserve">moyenne EV/EBITDA </t>
  </si>
  <si>
    <t>on peut exclure en fonction de notre cible ou inclure si le profil de lotus est proche de notre cible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</si>
</sst>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70" formatCode="_-* #,##0.00000\ _€_-;\-* #,##0.00000\ _€_-;_-* &quot;-&quot;??\ _€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1">
    <xf numFmtId="0" fontId="0" fillId="0" borderId="0" xfId="0"/>
    <xf numFmtId="0" fontId="0" fillId="2" borderId="0" xfId="0" applyFill="1"/>
    <xf numFmtId="10" fontId="0" fillId="2" borderId="0" xfId="0" applyNumberFormat="1" applyFill="1" applyAlignment="1">
      <alignment horizontal="center"/>
    </xf>
    <xf numFmtId="0" fontId="0" fillId="2" borderId="0" xfId="0" applyFill="1" applyAlignment="1">
      <alignment horizontal="right"/>
    </xf>
    <xf numFmtId="10" fontId="0" fillId="2" borderId="0" xfId="0" applyNumberFormat="1" applyFill="1"/>
    <xf numFmtId="0" fontId="0" fillId="2" borderId="0" xfId="0" applyFill="1" applyAlignment="1">
      <alignment wrapText="1"/>
    </xf>
    <xf numFmtId="0" fontId="0" fillId="2" borderId="0" xfId="0" applyFill="1" applyAlignment="1">
      <alignment horizontal="center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left" indent="6"/>
    </xf>
    <xf numFmtId="164" fontId="0" fillId="0" borderId="0" xfId="0" applyNumberFormat="1" applyAlignment="1">
      <alignment horizontal="left" indent="6"/>
    </xf>
    <xf numFmtId="2" fontId="0" fillId="0" borderId="0" xfId="0" applyNumberFormat="1"/>
    <xf numFmtId="43" fontId="0" fillId="0" borderId="0" xfId="0" applyNumberFormat="1"/>
    <xf numFmtId="170" fontId="0" fillId="0" borderId="0" xfId="0" applyNumberFormat="1"/>
    <xf numFmtId="0" fontId="0" fillId="3" borderId="0" xfId="0" applyFill="1"/>
    <xf numFmtId="43" fontId="0" fillId="3" borderId="0" xfId="1" applyFont="1" applyFill="1"/>
    <xf numFmtId="0" fontId="0" fillId="4" borderId="0" xfId="0" applyFill="1"/>
    <xf numFmtId="43" fontId="0" fillId="4" borderId="0" xfId="1" applyFont="1" applyFill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20"/>
  <sheetViews>
    <sheetView topLeftCell="A11" zoomScale="90" zoomScaleNormal="90" workbookViewId="0">
      <selection activeCell="D16" sqref="D16"/>
    </sheetView>
  </sheetViews>
  <sheetFormatPr baseColWidth="10" defaultRowHeight="14.5" x14ac:dyDescent="0.35"/>
  <cols>
    <col min="1" max="1" width="29.08984375" customWidth="1"/>
    <col min="2" max="2" width="13.08984375" customWidth="1"/>
    <col min="3" max="5" width="13.6328125" bestFit="1" customWidth="1"/>
  </cols>
  <sheetData>
    <row r="3" spans="1:5" x14ac:dyDescent="0.35">
      <c r="A3" s="1" t="s">
        <v>0</v>
      </c>
      <c r="B3" s="1"/>
      <c r="C3" s="1"/>
      <c r="D3" s="1"/>
      <c r="E3" s="1"/>
    </row>
    <row r="4" spans="1:5" x14ac:dyDescent="0.35">
      <c r="A4" s="1" t="s">
        <v>1</v>
      </c>
      <c r="B4" s="2">
        <v>-3.3999999999999998E-3</v>
      </c>
      <c r="C4" s="1"/>
      <c r="D4" s="3" t="s">
        <v>2</v>
      </c>
      <c r="E4" s="4">
        <v>0.02</v>
      </c>
    </row>
    <row r="5" spans="1:5" ht="72.5" x14ac:dyDescent="0.35">
      <c r="A5" s="5" t="s">
        <v>3</v>
      </c>
      <c r="B5" s="6">
        <v>0.7</v>
      </c>
      <c r="C5" s="1"/>
      <c r="D5" s="1"/>
      <c r="E5" s="1"/>
    </row>
    <row r="6" spans="1:5" ht="43.5" x14ac:dyDescent="0.35">
      <c r="A6" s="5" t="s">
        <v>4</v>
      </c>
      <c r="B6" s="2">
        <v>8.2199999999999995E-2</v>
      </c>
      <c r="C6" s="1"/>
      <c r="D6" s="1"/>
      <c r="E6" s="1"/>
    </row>
    <row r="7" spans="1:5" ht="29" x14ac:dyDescent="0.35">
      <c r="A7" s="7" t="s">
        <v>5</v>
      </c>
      <c r="B7" s="8"/>
    </row>
    <row r="9" spans="1:5" x14ac:dyDescent="0.35">
      <c r="B9" s="9">
        <v>1</v>
      </c>
      <c r="C9" s="10">
        <v>2</v>
      </c>
      <c r="D9" s="10">
        <v>3</v>
      </c>
      <c r="E9" s="10">
        <v>4</v>
      </c>
    </row>
    <row r="10" spans="1:5" x14ac:dyDescent="0.35">
      <c r="B10" s="11">
        <v>2020</v>
      </c>
      <c r="C10" s="11">
        <v>2021</v>
      </c>
      <c r="D10" s="11">
        <v>2022</v>
      </c>
      <c r="E10" s="11">
        <v>2023</v>
      </c>
    </row>
    <row r="11" spans="1:5" x14ac:dyDescent="0.35">
      <c r="A11" s="1" t="s">
        <v>6</v>
      </c>
      <c r="B11" s="6">
        <v>2.0310000000000001</v>
      </c>
      <c r="C11" s="6">
        <v>2.1349999999999998</v>
      </c>
      <c r="D11" s="6">
        <v>2.234</v>
      </c>
      <c r="E11" s="6">
        <v>2.2799999999999998</v>
      </c>
    </row>
    <row r="13" spans="1:5" x14ac:dyDescent="0.35">
      <c r="A13" t="s">
        <v>7</v>
      </c>
      <c r="B13" s="12"/>
      <c r="C13" s="13"/>
      <c r="D13" s="13"/>
      <c r="E13" s="13"/>
    </row>
    <row r="15" spans="1:5" x14ac:dyDescent="0.35">
      <c r="A15" t="s">
        <v>8</v>
      </c>
    </row>
    <row r="16" spans="1:5" x14ac:dyDescent="0.35">
      <c r="A16" t="s">
        <v>9</v>
      </c>
    </row>
    <row r="19" spans="1:2" x14ac:dyDescent="0.35">
      <c r="A19" t="s">
        <v>10</v>
      </c>
      <c r="B19" s="14"/>
    </row>
    <row r="20" spans="1:2" x14ac:dyDescent="0.35">
      <c r="A20" s="1" t="s">
        <v>11</v>
      </c>
      <c r="B20" s="1">
        <v>52.5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F1825-AF97-4BB7-9870-6C7EE053B214}">
  <dimension ref="A4:H16"/>
  <sheetViews>
    <sheetView tabSelected="1" workbookViewId="0">
      <selection activeCell="A16" sqref="A16"/>
    </sheetView>
  </sheetViews>
  <sheetFormatPr baseColWidth="10" defaultRowHeight="14.5" x14ac:dyDescent="0.35"/>
  <cols>
    <col min="1" max="1" width="27.08984375" bestFit="1" customWidth="1"/>
    <col min="7" max="7" width="82.08984375" bestFit="1" customWidth="1"/>
  </cols>
  <sheetData>
    <row r="4" spans="1:8" x14ac:dyDescent="0.35">
      <c r="A4" s="19" t="s">
        <v>12</v>
      </c>
      <c r="B4" s="19" t="s">
        <v>14</v>
      </c>
      <c r="C4" s="19" t="s">
        <v>15</v>
      </c>
      <c r="D4" s="19" t="s">
        <v>13</v>
      </c>
      <c r="E4" s="19" t="s">
        <v>22</v>
      </c>
      <c r="F4" s="19" t="s">
        <v>23</v>
      </c>
    </row>
    <row r="5" spans="1:8" x14ac:dyDescent="0.35">
      <c r="A5" s="19" t="s">
        <v>21</v>
      </c>
      <c r="B5" s="17">
        <v>200</v>
      </c>
      <c r="C5" s="17">
        <v>51</v>
      </c>
      <c r="D5" s="17">
        <v>18</v>
      </c>
      <c r="E5" s="17">
        <f>B5+C5</f>
        <v>251</v>
      </c>
      <c r="F5" s="18">
        <f>E5/D5</f>
        <v>13.944444444444445</v>
      </c>
    </row>
    <row r="6" spans="1:8" x14ac:dyDescent="0.35">
      <c r="A6" s="19" t="s">
        <v>20</v>
      </c>
      <c r="B6" s="17">
        <v>41</v>
      </c>
      <c r="C6" s="17">
        <v>8</v>
      </c>
      <c r="D6" s="17">
        <v>5</v>
      </c>
      <c r="E6" s="17">
        <f>B6+C6</f>
        <v>49</v>
      </c>
      <c r="F6" s="18">
        <f>E6/D6</f>
        <v>9.8000000000000007</v>
      </c>
    </row>
    <row r="7" spans="1:8" x14ac:dyDescent="0.35">
      <c r="A7" s="19" t="s">
        <v>19</v>
      </c>
      <c r="B7" s="17">
        <v>20</v>
      </c>
      <c r="C7" s="17">
        <v>12</v>
      </c>
      <c r="D7" s="17">
        <v>3</v>
      </c>
      <c r="E7" s="17">
        <f>B7+C7</f>
        <v>32</v>
      </c>
      <c r="F7" s="18">
        <f>E7/D7</f>
        <v>10.666666666666666</v>
      </c>
      <c r="H7" s="15"/>
    </row>
    <row r="8" spans="1:8" x14ac:dyDescent="0.35">
      <c r="A8" s="19" t="s">
        <v>18</v>
      </c>
      <c r="B8" s="17">
        <v>28</v>
      </c>
      <c r="C8" s="17">
        <v>18</v>
      </c>
      <c r="D8" s="17">
        <v>5</v>
      </c>
      <c r="E8" s="17">
        <f>B8+C8</f>
        <v>46</v>
      </c>
      <c r="F8" s="18">
        <f>E8/D8</f>
        <v>9.1999999999999993</v>
      </c>
    </row>
    <row r="9" spans="1:8" x14ac:dyDescent="0.35">
      <c r="A9" s="19" t="s">
        <v>17</v>
      </c>
      <c r="B9" s="17">
        <v>10</v>
      </c>
      <c r="C9" s="17">
        <v>0</v>
      </c>
      <c r="D9" s="17">
        <v>0.3</v>
      </c>
      <c r="E9" s="17">
        <f>B9+C9</f>
        <v>10</v>
      </c>
      <c r="F9" s="18">
        <f>E9/D9</f>
        <v>33.333333333333336</v>
      </c>
      <c r="G9" t="s">
        <v>27</v>
      </c>
    </row>
    <row r="11" spans="1:8" x14ac:dyDescent="0.35">
      <c r="A11" s="1" t="s">
        <v>16</v>
      </c>
      <c r="B11" s="1"/>
      <c r="C11" s="1">
        <v>0.35</v>
      </c>
      <c r="D11" s="1">
        <v>0.2</v>
      </c>
    </row>
    <row r="13" spans="1:8" x14ac:dyDescent="0.35">
      <c r="A13" s="19" t="s">
        <v>26</v>
      </c>
      <c r="B13" s="20">
        <f>AVERAGE(F5:F9)</f>
        <v>15.388888888888891</v>
      </c>
      <c r="G13" s="16"/>
    </row>
    <row r="15" spans="1:8" x14ac:dyDescent="0.35">
      <c r="A15" s="17" t="s">
        <v>24</v>
      </c>
      <c r="B15" s="18">
        <f>D11*B13</f>
        <v>3.0777777777777784</v>
      </c>
    </row>
    <row r="16" spans="1:8" x14ac:dyDescent="0.35">
      <c r="A16" s="17" t="s">
        <v>25</v>
      </c>
      <c r="B16" s="18">
        <f>B15-C11</f>
        <v>2.7277777777777783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GARSAA Aziza</dc:creator>
  <cp:lastModifiedBy>Stella Yathe</cp:lastModifiedBy>
  <dcterms:created xsi:type="dcterms:W3CDTF">2022-10-04T08:54:31Z</dcterms:created>
  <dcterms:modified xsi:type="dcterms:W3CDTF">2026-09-23T13:45:31Z</dcterms:modified>
</cp:coreProperties>
</file>